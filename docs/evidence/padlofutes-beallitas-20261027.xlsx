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amily\Balint\Pilismarot tervek + költségvetés\Építés\Tervek\Gépészet+Villany\"/>
    </mc:Choice>
  </mc:AlternateContent>
  <xr:revisionPtr revIDLastSave="0" documentId="13_ncr:1_{E2A1C4AB-2B7F-4A97-AA15-EBFB05E96C70}" xr6:coauthVersionLast="47" xr6:coauthVersionMax="47" xr10:uidLastSave="{00000000-0000-0000-0000-000000000000}"/>
  <bookViews>
    <workbookView xWindow="-28920" yWindow="7605" windowWidth="29040" windowHeight="15720" xr2:uid="{2CEB814C-9483-4A6D-B513-8D2CE1B8B7E7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J8" i="1"/>
  <c r="J9" i="1"/>
  <c r="I10" i="1"/>
  <c r="J10" i="1" s="1"/>
  <c r="I9" i="1"/>
  <c r="I7" i="1"/>
  <c r="I6" i="1"/>
  <c r="J6" i="1" s="1"/>
  <c r="I5" i="1"/>
  <c r="J5" i="1" s="1"/>
  <c r="I4" i="1"/>
  <c r="J4" i="1" s="1"/>
  <c r="I3" i="1"/>
  <c r="J3" i="1" s="1"/>
</calcChain>
</file>

<file path=xl/sharedStrings.xml><?xml version="1.0" encoding="utf-8"?>
<sst xmlns="http://schemas.openxmlformats.org/spreadsheetml/2006/main" count="19" uniqueCount="19">
  <si>
    <t>Kör</t>
  </si>
  <si>
    <t>Helyiség</t>
  </si>
  <si>
    <t>Méret</t>
  </si>
  <si>
    <t>Korrekció</t>
  </si>
  <si>
    <t>Arány</t>
  </si>
  <si>
    <t>Fürdő, WC, Előszoba</t>
  </si>
  <si>
    <t>Előszoba, Konyha</t>
  </si>
  <si>
    <t>Zoé</t>
  </si>
  <si>
    <t>Zsombi</t>
  </si>
  <si>
    <t>Konyha</t>
  </si>
  <si>
    <t>Nappali</t>
  </si>
  <si>
    <t>Háló</t>
  </si>
  <si>
    <t>Dolgozó, Gardrób</t>
  </si>
  <si>
    <t>Ref. Korrekció</t>
  </si>
  <si>
    <t>Referencia</t>
  </si>
  <si>
    <t>Max</t>
  </si>
  <si>
    <t>Kvs (m3/h)</t>
  </si>
  <si>
    <t>Q (l/s)</t>
  </si>
  <si>
    <t>Poz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</si>
</sst>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9" tint="-0.249977111117893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9" fontId="0" fillId="0" borderId="0" xfId="1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164" fontId="3" fillId="0" borderId="0" xfId="0" applyNumberFormat="1" applyFont="1"/>
    <xf numFmtId="0" fontId="3" fillId="0" borderId="0" xfId="0" applyFont="1"/>
    <xf numFmtId="164" fontId="2" fillId="0" borderId="0" xfId="0" applyNumberFormat="1" applyFont="1"/>
    <xf numFmtId="1" fontId="0" fillId="0" borderId="0" xfId="0" applyNumberFormat="1"/>
    <xf numFmtId="0" fontId="0" fillId="3" borderId="0" xfId="0" applyFill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533401</xdr:colOff>
      <xdr:row>4</xdr:row>
      <xdr:rowOff>139700</xdr:rowOff>
    </xdr:from>
    <xdr:to>
      <xdr:col>21</xdr:col>
      <xdr:colOff>536573</xdr:colOff>
      <xdr:row>25</xdr:row>
      <xdr:rowOff>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5D554DD9-1646-5E72-F168-58F6962B8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62851" y="863600"/>
          <a:ext cx="5489572" cy="3660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F0F4F-4CD3-4026-9B07-6E6096F50ABA}">
  <dimension ref="A1:U10"/>
  <sheetViews>
    <sheetView tabSelected="1" workbookViewId="0">
      <selection activeCell="I21" sqref="I21"/>
    </sheetView>
  </sheetViews>
  <sheetFormatPr defaultRowHeight="14.5" x14ac:dyDescent="0.35"/>
  <cols>
    <col min="1" max="1" width="3.6328125" bestFit="1" customWidth="1"/>
    <col min="2" max="2" width="18" bestFit="1" customWidth="1"/>
    <col min="3" max="3" width="5.90625" bestFit="1" customWidth="1"/>
    <col min="4" max="6" width="5.90625" customWidth="1"/>
    <col min="7" max="7" width="12.36328125" bestFit="1" customWidth="1"/>
    <col min="8" max="8" width="8.6328125" bestFit="1" customWidth="1"/>
    <col min="9" max="9" width="5.7265625" bestFit="1" customWidth="1"/>
    <col min="11" max="11" width="11.36328125" customWidth="1"/>
  </cols>
  <sheetData>
    <row r="1" spans="1:21" x14ac:dyDescent="0.35">
      <c r="C1" s="3"/>
      <c r="D1" s="11" t="s">
        <v>14</v>
      </c>
      <c r="E1" s="11"/>
      <c r="F1" s="11"/>
      <c r="G1" s="3"/>
    </row>
    <row r="2" spans="1:21" x14ac:dyDescent="0.35">
      <c r="A2" s="4" t="s">
        <v>0</v>
      </c>
      <c r="B2" s="4" t="s">
        <v>1</v>
      </c>
      <c r="C2" s="4" t="s">
        <v>2</v>
      </c>
      <c r="D2" s="6"/>
      <c r="E2" s="6"/>
      <c r="F2" s="6"/>
      <c r="G2" s="5" t="s">
        <v>13</v>
      </c>
      <c r="H2" s="4" t="s">
        <v>3</v>
      </c>
      <c r="I2" s="4" t="s">
        <v>4</v>
      </c>
      <c r="J2" t="s">
        <v>18</v>
      </c>
      <c r="K2" s="3"/>
      <c r="P2">
        <v>1</v>
      </c>
      <c r="Q2">
        <v>2</v>
      </c>
      <c r="R2">
        <v>3</v>
      </c>
      <c r="S2">
        <v>4</v>
      </c>
      <c r="T2">
        <v>5</v>
      </c>
      <c r="U2" t="s">
        <v>15</v>
      </c>
    </row>
    <row r="3" spans="1:21" x14ac:dyDescent="0.35">
      <c r="A3">
        <v>1</v>
      </c>
      <c r="B3" t="s">
        <v>5</v>
      </c>
      <c r="C3" s="1">
        <v>14.1</v>
      </c>
      <c r="D3" s="7"/>
      <c r="E3" s="7"/>
      <c r="F3" s="7"/>
      <c r="G3" s="7"/>
      <c r="H3" s="2">
        <v>1</v>
      </c>
      <c r="I3" s="9">
        <f>C3/$C$8*H3</f>
        <v>0.72307692307692306</v>
      </c>
      <c r="J3" s="10">
        <f>ROUND(6*I3,0)</f>
        <v>4</v>
      </c>
      <c r="O3" t="s">
        <v>17</v>
      </c>
      <c r="P3">
        <v>1.4999999999999999E-2</v>
      </c>
      <c r="Q3">
        <v>2.5000000000000001E-2</v>
      </c>
      <c r="R3">
        <v>4.3999999999999997E-2</v>
      </c>
      <c r="S3">
        <v>5.8999999999999997E-2</v>
      </c>
      <c r="T3">
        <v>7.3999999999999996E-2</v>
      </c>
      <c r="U3">
        <v>0.28299999999999997</v>
      </c>
    </row>
    <row r="4" spans="1:21" x14ac:dyDescent="0.35">
      <c r="A4">
        <v>2</v>
      </c>
      <c r="B4" t="s">
        <v>6</v>
      </c>
      <c r="C4">
        <v>11.8</v>
      </c>
      <c r="D4" s="8"/>
      <c r="E4" s="8"/>
      <c r="F4" s="8"/>
      <c r="G4" s="8"/>
      <c r="H4" s="2">
        <v>0.8</v>
      </c>
      <c r="I4" s="9">
        <f>C4/$C$8*H4</f>
        <v>0.48410256410256419</v>
      </c>
      <c r="J4" s="10">
        <f t="shared" ref="J4:J10" si="0">ROUND(6*I4,0)</f>
        <v>3</v>
      </c>
      <c r="O4" t="s">
        <v>16</v>
      </c>
      <c r="P4">
        <v>0.05</v>
      </c>
      <c r="Q4">
        <v>0.09</v>
      </c>
      <c r="R4">
        <v>0.16</v>
      </c>
      <c r="S4">
        <v>0.21</v>
      </c>
      <c r="T4">
        <v>0.27</v>
      </c>
      <c r="U4">
        <v>1.2</v>
      </c>
    </row>
    <row r="5" spans="1:21" x14ac:dyDescent="0.35">
      <c r="A5">
        <v>3</v>
      </c>
      <c r="B5" t="s">
        <v>7</v>
      </c>
      <c r="C5">
        <v>13.5</v>
      </c>
      <c r="D5" s="8"/>
      <c r="E5" s="8"/>
      <c r="F5" s="8"/>
      <c r="G5" s="8"/>
      <c r="H5" s="2">
        <v>1.4</v>
      </c>
      <c r="I5" s="9">
        <f>C5/$C$8*H5</f>
        <v>0.96923076923076912</v>
      </c>
      <c r="J5" s="10">
        <f t="shared" si="0"/>
        <v>6</v>
      </c>
    </row>
    <row r="6" spans="1:21" x14ac:dyDescent="0.35">
      <c r="A6">
        <v>4</v>
      </c>
      <c r="B6" t="s">
        <v>8</v>
      </c>
      <c r="C6">
        <v>13.5</v>
      </c>
      <c r="D6" s="8"/>
      <c r="E6" s="8"/>
      <c r="F6" s="8"/>
      <c r="G6" s="8"/>
      <c r="H6" s="2">
        <v>1.4</v>
      </c>
      <c r="I6" s="9">
        <f>C6/$C$8*H6</f>
        <v>0.96923076923076912</v>
      </c>
      <c r="J6" s="10">
        <f t="shared" si="0"/>
        <v>6</v>
      </c>
    </row>
    <row r="7" spans="1:21" x14ac:dyDescent="0.35">
      <c r="A7">
        <v>5</v>
      </c>
      <c r="B7" t="s">
        <v>9</v>
      </c>
      <c r="C7">
        <v>19.8</v>
      </c>
      <c r="D7" s="8"/>
      <c r="E7" s="8"/>
      <c r="F7" s="8"/>
      <c r="G7" s="8"/>
      <c r="H7" s="2">
        <v>1</v>
      </c>
      <c r="I7" s="9">
        <f>C7/$C$8*H7</f>
        <v>1.0153846153846153</v>
      </c>
      <c r="J7" s="10">
        <f t="shared" si="0"/>
        <v>6</v>
      </c>
    </row>
    <row r="8" spans="1:21" x14ac:dyDescent="0.35">
      <c r="A8">
        <v>6</v>
      </c>
      <c r="B8" t="s">
        <v>10</v>
      </c>
      <c r="C8">
        <v>19.5</v>
      </c>
      <c r="D8" s="8"/>
      <c r="E8" s="8"/>
      <c r="F8" s="8"/>
      <c r="G8" s="8"/>
      <c r="H8" s="2">
        <v>1</v>
      </c>
      <c r="I8" s="9">
        <v>1</v>
      </c>
      <c r="J8" s="10">
        <f t="shared" si="0"/>
        <v>6</v>
      </c>
    </row>
    <row r="9" spans="1:21" x14ac:dyDescent="0.35">
      <c r="A9">
        <v>7</v>
      </c>
      <c r="B9" t="s">
        <v>11</v>
      </c>
      <c r="C9">
        <v>11</v>
      </c>
      <c r="D9" s="8"/>
      <c r="E9" s="8"/>
      <c r="F9" s="8"/>
      <c r="G9" s="8"/>
      <c r="H9" s="2">
        <v>0.8</v>
      </c>
      <c r="I9" s="9">
        <f>C9/$C$8*H9</f>
        <v>0.45128205128205129</v>
      </c>
      <c r="J9" s="10">
        <f t="shared" si="0"/>
        <v>3</v>
      </c>
    </row>
    <row r="10" spans="1:21" x14ac:dyDescent="0.35">
      <c r="A10">
        <v>8</v>
      </c>
      <c r="B10" t="s">
        <v>12</v>
      </c>
      <c r="C10">
        <v>11</v>
      </c>
      <c r="D10" s="8"/>
      <c r="E10" s="8"/>
      <c r="F10" s="8"/>
      <c r="G10" s="8"/>
      <c r="H10" s="2">
        <v>0.2</v>
      </c>
      <c r="I10" s="9">
        <f>C10/$C$8*H10</f>
        <v>0.11282051282051282</v>
      </c>
      <c r="J10" s="10">
        <f t="shared" si="0"/>
        <v>1</v>
      </c>
    </row>
  </sheetData>
  <mergeCells count="1">
    <mergeCell ref="D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Szluha Bálint</dc:creator>
  <cp:lastModifiedBy>O365 felhasználó</cp:lastModifiedBy>
  <dcterms:created xsi:type="dcterms:W3CDTF">2023-11-06T07:32:17Z</dcterms:created>
  <dcterms:modified xsi:type="dcterms:W3CDTF">2026-03-26T12:46:14Z</dcterms:modified>
</cp:coreProperties>
</file>